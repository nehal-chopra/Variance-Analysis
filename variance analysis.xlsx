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2"/>
  </bookViews>
  <sheets>
    <sheet name="Dashboard" sheetId="5" r:id="rId1"/>
    <sheet name="Budget" sheetId="3" r:id="rId2"/>
    <sheet name="Actual" sheetId="2" r:id="rId3"/>
  </sheets>
  <calcPr calcId="144525"/>
</workbook>
</file>

<file path=xl/calcChain.xml><?xml version="1.0" encoding="utf-8"?>
<calcChain xmlns="http://schemas.openxmlformats.org/spreadsheetml/2006/main">
  <c r="C7" i="5" l="1"/>
  <c r="C8" i="5"/>
  <c r="C12" i="5"/>
  <c r="C13" i="5"/>
  <c r="C14" i="5"/>
  <c r="C15" i="5"/>
  <c r="C16" i="5"/>
  <c r="C17" i="5"/>
  <c r="C6" i="5"/>
  <c r="C9" i="5" l="1"/>
  <c r="C18" i="5"/>
  <c r="C20" i="5"/>
  <c r="B7" i="5"/>
  <c r="B8" i="5"/>
  <c r="B9" i="5"/>
  <c r="B12" i="5"/>
  <c r="B13" i="5"/>
  <c r="B14" i="5"/>
  <c r="B15" i="5"/>
  <c r="B16" i="5"/>
  <c r="B17" i="5"/>
  <c r="B18" i="5"/>
  <c r="B6" i="5"/>
  <c r="B20" i="3"/>
  <c r="C20" i="3" s="1"/>
  <c r="D20" i="3" s="1"/>
  <c r="E20" i="3" s="1"/>
  <c r="F20" i="3" s="1"/>
  <c r="G20" i="3" s="1"/>
  <c r="H20" i="3" s="1"/>
  <c r="I20" i="3" s="1"/>
  <c r="J20" i="3" s="1"/>
  <c r="K20" i="3" s="1"/>
  <c r="L20" i="3" s="1"/>
  <c r="M20" i="3" s="1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B20" i="5" l="1"/>
  <c r="F8" i="5"/>
  <c r="F7" i="5"/>
  <c r="F14" i="5"/>
  <c r="F15" i="5"/>
  <c r="F12" i="5"/>
  <c r="F16" i="5"/>
  <c r="F13" i="5"/>
  <c r="F17" i="5"/>
  <c r="F9" i="5"/>
  <c r="E9" i="5"/>
  <c r="E7" i="5"/>
  <c r="E13" i="5"/>
  <c r="E15" i="5"/>
  <c r="E17" i="5"/>
  <c r="E6" i="5"/>
  <c r="E8" i="5"/>
  <c r="E12" i="5"/>
  <c r="E14" i="5"/>
  <c r="E16" i="5"/>
  <c r="F6" i="5"/>
  <c r="F18" i="5" l="1"/>
  <c r="E18" i="5"/>
  <c r="F20" i="5"/>
  <c r="E20" i="5"/>
</calcChain>
</file>

<file path=xl/sharedStrings.xml><?xml version="1.0" encoding="utf-8"?>
<sst xmlns="http://schemas.openxmlformats.org/spreadsheetml/2006/main" count="169" uniqueCount="67">
  <si>
    <t>Date</t>
  </si>
  <si>
    <t>Month</t>
  </si>
  <si>
    <t>Category</t>
  </si>
  <si>
    <t>Description</t>
  </si>
  <si>
    <t>Amount</t>
  </si>
  <si>
    <t>Mall store space co-rent</t>
  </si>
  <si>
    <t>Rent</t>
  </si>
  <si>
    <t>Winter heating surge</t>
  </si>
  <si>
    <t>Utilities</t>
  </si>
  <si>
    <t>Transit pass &amp; local delivery</t>
  </si>
  <si>
    <t>Transport</t>
  </si>
  <si>
    <t>New Year promo flyers &amp; social ads</t>
  </si>
  <si>
    <t>Marketing</t>
  </si>
  <si>
    <t>Property liability premium</t>
  </si>
  <si>
    <t>Business Insurance</t>
  </si>
  <si>
    <t>Equipment insurance</t>
  </si>
  <si>
    <t>Worker compensation premium</t>
  </si>
  <si>
    <t>Staff uniform refresh</t>
  </si>
  <si>
    <t>Other Expenses</t>
  </si>
  <si>
    <t>Grooming commissions</t>
  </si>
  <si>
    <t>Services</t>
  </si>
  <si>
    <t>Retail pet food &amp; supplies</t>
  </si>
  <si>
    <t>Sales</t>
  </si>
  <si>
    <t>Daycare &amp; overnight boarding</t>
  </si>
  <si>
    <t>Other Income</t>
  </si>
  <si>
    <t>Standard winter operations</t>
  </si>
  <si>
    <t>Delivery vehicle gas &amp; metro</t>
  </si>
  <si>
    <t>Valentine pet promo campaign</t>
  </si>
  <si>
    <t>Breakroom snacks &amp; supplies</t>
  </si>
  <si>
    <t>Early spring utility bill</t>
  </si>
  <si>
    <t>Metro &amp; local logistics</t>
  </si>
  <si>
    <t>Spring grooming push ads</t>
  </si>
  <si>
    <t>Store maintenance &amp; cleaning gear</t>
  </si>
  <si>
    <t>Budgeted Income &amp; Expenses 2022</t>
  </si>
  <si>
    <t>Figures in USD</t>
  </si>
  <si>
    <t>May</t>
  </si>
  <si>
    <t>Total Income</t>
  </si>
  <si>
    <t>Total Expenses</t>
  </si>
  <si>
    <t>Savings</t>
  </si>
  <si>
    <t>Cumulative Savings</t>
  </si>
  <si>
    <t>Line Item / Category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</si>
  <si>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</si>
  <si>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</si>
  <si>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</si>
  <si>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</si>
  <si>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</si>
  <si>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</si>
  <si>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</si>
  <si>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</si>
  <si>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</si>
  <si>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</si>
  <si>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</si>
  <si>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Income</t>
  </si>
  <si>
    <t>Expenses</t>
  </si>
  <si>
    <t xml:space="preserve">Full Year Total </t>
  </si>
  <si>
    <t>Budget</t>
  </si>
  <si>
    <t>Actual</t>
  </si>
  <si>
    <t>Variance (Absolute)</t>
  </si>
  <si>
    <t>Variance ( % )</t>
  </si>
  <si>
    <t>`</t>
  </si>
  <si>
    <t>Current Month :</t>
  </si>
  <si>
    <t xml:space="preserve">Sales </t>
  </si>
  <si>
    <t xml:space="preserve">Services </t>
  </si>
  <si>
    <t xml:space="preserve">Other Income </t>
  </si>
  <si>
    <t>Variance (Budget vs Actual) Income:</t>
  </si>
  <si>
    <t>Expenses:</t>
  </si>
  <si>
    <t>Budget vs. Actual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</si>
</sst>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d\-mmm;@"/>
    <numFmt numFmtId="165" formatCode="#,##0_);\(#,##0\);\-\-_)"/>
    <numFmt numFmtId="166" formatCode="#,##0;\(#,##0\);&quot;-&quot;"/>
    <numFmt numFmtId="167" formatCode="0.0%_);\(0.0%\);\-\-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i/>
      <sz val="12"/>
      <color theme="0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</font>
    <font>
      <b/>
      <i/>
      <sz val="12"/>
      <color theme="1"/>
      <name val="Calibri"/>
      <family val="2"/>
    </font>
    <font>
      <b/>
      <i/>
      <sz val="12"/>
      <color theme="0"/>
      <name val="Calibri"/>
      <family val="2"/>
    </font>
    <font>
      <b/>
      <sz val="20"/>
      <color rgb="FF293D6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1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0" fontId="3" fillId="2" borderId="0" xfId="0" applyFont="1" applyFill="1" applyBorder="1"/>
    <xf numFmtId="0" fontId="0" fillId="0" borderId="7" xfId="0" applyBorder="1"/>
    <xf numFmtId="0" fontId="5" fillId="0" borderId="1" xfId="0" applyFont="1" applyBorder="1"/>
    <xf numFmtId="3" fontId="5" fillId="0" borderId="1" xfId="0" applyNumberFormat="1" applyFont="1" applyBorder="1"/>
    <xf numFmtId="0" fontId="5" fillId="0" borderId="6" xfId="0" applyFont="1" applyBorder="1"/>
    <xf numFmtId="3" fontId="5" fillId="0" borderId="6" xfId="0" applyNumberFormat="1" applyFont="1" applyBorder="1"/>
    <xf numFmtId="0" fontId="5" fillId="0" borderId="7" xfId="0" applyFont="1" applyBorder="1"/>
    <xf numFmtId="3" fontId="5" fillId="0" borderId="7" xfId="0" applyNumberFormat="1" applyFont="1" applyBorder="1"/>
    <xf numFmtId="0" fontId="5" fillId="0" borderId="5" xfId="0" applyFont="1" applyBorder="1"/>
    <xf numFmtId="0" fontId="8" fillId="0" borderId="6" xfId="0" applyFont="1" applyBorder="1"/>
    <xf numFmtId="0" fontId="8" fillId="0" borderId="5" xfId="0" applyFont="1" applyBorder="1"/>
    <xf numFmtId="0" fontId="5" fillId="0" borderId="2" xfId="0" applyFont="1" applyBorder="1"/>
    <xf numFmtId="3" fontId="5" fillId="0" borderId="2" xfId="0" applyNumberFormat="1" applyFont="1" applyBorder="1"/>
    <xf numFmtId="166" fontId="0" fillId="0" borderId="7" xfId="0" applyNumberFormat="1" applyBorder="1"/>
    <xf numFmtId="166" fontId="0" fillId="0" borderId="1" xfId="0" applyNumberFormat="1" applyBorder="1"/>
    <xf numFmtId="166" fontId="5" fillId="0" borderId="7" xfId="0" applyNumberFormat="1" applyFont="1" applyBorder="1"/>
    <xf numFmtId="0" fontId="3" fillId="2" borderId="0" xfId="0" applyFont="1" applyFill="1" applyBorder="1" applyAlignment="1">
      <alignment horizontal="right"/>
    </xf>
    <xf numFmtId="0" fontId="4" fillId="0" borderId="0" xfId="0" applyFont="1"/>
    <xf numFmtId="0" fontId="9" fillId="0" borderId="0" xfId="0" applyFont="1"/>
    <xf numFmtId="165" fontId="2" fillId="0" borderId="0" xfId="0" applyNumberFormat="1" applyFont="1"/>
    <xf numFmtId="167" fontId="2" fillId="0" borderId="0" xfId="0" applyNumberFormat="1" applyFont="1"/>
    <xf numFmtId="165" fontId="6" fillId="0" borderId="2" xfId="0" applyNumberFormat="1" applyFont="1" applyBorder="1"/>
    <xf numFmtId="165" fontId="6" fillId="0" borderId="0" xfId="0" applyNumberFormat="1" applyFont="1"/>
    <xf numFmtId="167" fontId="6" fillId="0" borderId="2" xfId="0" applyNumberFormat="1" applyFont="1" applyBorder="1"/>
    <xf numFmtId="0" fontId="2" fillId="0" borderId="0" xfId="0" applyFont="1"/>
    <xf numFmtId="0" fontId="6" fillId="3" borderId="5" xfId="0" applyFont="1" applyFill="1" applyBorder="1" applyAlignment="1">
      <alignment horizontal="left" indent="1"/>
    </xf>
    <xf numFmtId="165" fontId="6" fillId="3" borderId="5" xfId="0" applyNumberFormat="1" applyFont="1" applyFill="1" applyBorder="1"/>
    <xf numFmtId="165" fontId="2" fillId="3" borderId="5" xfId="0" applyNumberFormat="1" applyFont="1" applyFill="1" applyBorder="1"/>
    <xf numFmtId="167" fontId="2" fillId="3" borderId="5" xfId="0" applyNumberFormat="1" applyFont="1" applyFill="1" applyBorder="1"/>
    <xf numFmtId="0" fontId="10" fillId="0" borderId="0" xfId="0" applyFont="1" applyAlignment="1">
      <alignment horizontal="right"/>
    </xf>
    <xf numFmtId="0" fontId="0" fillId="0" borderId="0" xfId="0" applyAlignment="1">
      <alignment wrapText="1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0" xfId="0" applyFont="1"/>
    <xf numFmtId="165" fontId="2" fillId="0" borderId="1" xfId="0" applyNumberFormat="1" applyFont="1" applyBorder="1"/>
    <xf numFmtId="0" fontId="8" fillId="0" borderId="1" xfId="0" applyFont="1" applyBorder="1"/>
    <xf numFmtId="0" fontId="9" fillId="0" borderId="1" xfId="0" applyFont="1" applyBorder="1"/>
    <xf numFmtId="0" fontId="11" fillId="2" borderId="0" xfId="0" applyFont="1" applyFill="1" applyBorder="1" applyAlignment="1">
      <alignment horizontal="left"/>
    </xf>
    <xf numFmtId="0" fontId="12" fillId="0" borderId="0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chemeClr val="accent1"/>
            </a:solidFill>
          </c:spPr>
          <c:invertIfNegative val="0"/>
          <c:cat>
            <c:strRef>
              <c:f>Dashboard!$A$6:$A$8</c:f>
              <c:strCache>
                <c:ptCount val="3"/>
                <c:pt idx="0">
                  <c:v>Sales </c:v>
                </c:pt>
                <c:pt idx="1">
                  <c:v>Services </c:v>
                </c:pt>
                <c:pt idx="2">
                  <c:v>Other Income </c:v>
                </c:pt>
              </c:strCache>
            </c:strRef>
          </c:cat>
          <c:val>
            <c:numRef>
              <c:f>Dashboard!$B$6:$B$8</c:f>
              <c:numCache>
                <c:formatCode>#,##0_);\(#,##0\);\-\-_)</c:formatCode>
                <c:ptCount val="3"/>
                <c:pt idx="0">
                  <c:v>6500</c:v>
                </c:pt>
                <c:pt idx="1">
                  <c:v>3500</c:v>
                </c:pt>
                <c:pt idx="2">
                  <c:v>6500</c:v>
                </c:pt>
              </c:numCache>
            </c:numRef>
          </c:val>
        </c:ser>
        <c:ser>
          <c:idx val="1"/>
          <c:order val="1"/>
          <c:tx>
            <c:v>Actual</c:v>
          </c:tx>
          <c:spPr>
            <a:solidFill>
              <a:schemeClr val="accent6"/>
            </a:solidFill>
          </c:spPr>
          <c:invertIfNegative val="0"/>
          <c:cat>
            <c:strRef>
              <c:f>Dashboard!$A$6:$A$8</c:f>
              <c:strCache>
                <c:ptCount val="3"/>
                <c:pt idx="0">
                  <c:v>Sales </c:v>
                </c:pt>
                <c:pt idx="1">
                  <c:v>Services </c:v>
                </c:pt>
                <c:pt idx="2">
                  <c:v>Other Income </c:v>
                </c:pt>
              </c:strCache>
            </c:strRef>
          </c:cat>
          <c:val>
            <c:numRef>
              <c:f>Dashboard!$C$6:$C$8</c:f>
              <c:numCache>
                <c:formatCode>#,##0_);\(#,##0\);\-\-_)</c:formatCode>
                <c:ptCount val="3"/>
                <c:pt idx="0">
                  <c:v>5000</c:v>
                </c:pt>
                <c:pt idx="1">
                  <c:v>2500</c:v>
                </c:pt>
                <c:pt idx="2">
                  <c:v>7500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89472"/>
        <c:axId val="43691008"/>
      </c:barChart>
      <c:catAx>
        <c:axId val="43689472"/>
        <c:scaling>
          <c:orientation val="minMax"/>
        </c:scaling>
        <c:delete val="0"/>
        <c:axPos val="b"/>
        <c:majorTickMark val="out"/>
        <c:minorTickMark val="none"/>
        <c:tickLblPos val="nextTo"/>
        <c:crossAx val="43691008"/>
        <c:crosses val="autoZero"/>
        <c:auto val="1"/>
        <c:lblAlgn val="ctr"/>
        <c:lblOffset val="100"/>
        <c:noMultiLvlLbl val="0"/>
      </c:catAx>
      <c:valAx>
        <c:axId val="43691008"/>
        <c:scaling>
          <c:orientation val="minMax"/>
        </c:scaling>
        <c:delete val="0"/>
        <c:axPos val="l"/>
        <c:majorGridlines/>
        <c:numFmt formatCode="#,##0_);\(#,##0\);\-\-_)" sourceLinked="1"/>
        <c:majorTickMark val="out"/>
        <c:minorTickMark val="none"/>
        <c:tickLblPos val="nextTo"/>
        <c:crossAx val="43689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9"/>
    </mc:Choice>
    <mc:Fallback>
      <c:style val="39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cmpd="sng">
              <a:solidFill>
                <a:schemeClr val="bg1"/>
              </a:solidFill>
              <a:round/>
            </a:ln>
          </c:spPr>
          <c:dLbls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</c:dLbls>
          <c:cat>
            <c:strRef>
              <c:f>Dashboard!$A$12:$A$17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Marketing</c:v>
                </c:pt>
                <c:pt idx="4">
                  <c:v>Business Insurance</c:v>
                </c:pt>
                <c:pt idx="5">
                  <c:v>Other Expenses</c:v>
                </c:pt>
              </c:strCache>
            </c:strRef>
          </c:cat>
          <c:val>
            <c:numRef>
              <c:f>Dashboard!$C$12:$C$17</c:f>
              <c:numCache>
                <c:formatCode>#,##0_);\(#,##0\);\-\-_)</c:formatCode>
                <c:ptCount val="6"/>
                <c:pt idx="0">
                  <c:v>7000</c:v>
                </c:pt>
                <c:pt idx="1">
                  <c:v>4800</c:v>
                </c:pt>
                <c:pt idx="2">
                  <c:v>2000</c:v>
                </c:pt>
                <c:pt idx="3">
                  <c:v>2200</c:v>
                </c:pt>
                <c:pt idx="4">
                  <c:v>1000</c:v>
                </c:pt>
                <c:pt idx="5">
                  <c:v>3000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spPr>
    <a:ln>
      <a:solidFill>
        <a:schemeClr val="bg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3</xdr:row>
      <xdr:rowOff>66674</xdr:rowOff>
    </xdr:from>
    <xdr:to>
      <xdr:col>8</xdr:col>
      <xdr:colOff>3038475</xdr:colOff>
      <xdr:row>14</xdr:row>
      <xdr:rowOff>66674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17</xdr:row>
      <xdr:rowOff>66674</xdr:rowOff>
    </xdr:from>
    <xdr:to>
      <xdr:col>8</xdr:col>
      <xdr:colOff>2819400</xdr:colOff>
      <xdr:row>28</xdr:row>
      <xdr:rowOff>66674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C2" sqref="C2"/>
    </sheetView>
  </sheetViews>
  <sheetFormatPr defaultRowHeight="15" x14ac:dyDescent="0.25"/>
  <cols>
    <col min="1" max="1" width="20.42578125" bestFit="1" customWidth="1"/>
    <col min="2" max="2" width="17.140625" bestFit="1" customWidth="1"/>
    <col min="3" max="3" width="8" bestFit="1" customWidth="1"/>
    <col min="5" max="5" width="20.28515625" bestFit="1" customWidth="1"/>
    <col min="6" max="6" width="14.85546875" bestFit="1" customWidth="1"/>
    <col min="9" max="9" width="45.7109375" customWidth="1"/>
  </cols>
  <sheetData>
    <row r="1" spans="1:9" ht="26.25" x14ac:dyDescent="0.4">
      <c r="A1" s="46" t="s">
        <v>66</v>
      </c>
      <c r="B1" s="46"/>
      <c r="C1" s="46"/>
      <c r="D1" s="46"/>
      <c r="E1" s="46"/>
      <c r="F1" s="46"/>
      <c r="G1" s="46"/>
      <c r="H1" s="46"/>
      <c r="I1" s="46"/>
    </row>
    <row r="2" spans="1:9" ht="15.75" x14ac:dyDescent="0.25">
      <c r="B2" s="35" t="s">
        <v>60</v>
      </c>
      <c r="C2" s="41" t="s">
        <v>41</v>
      </c>
      <c r="I2" s="36"/>
    </row>
    <row r="3" spans="1:9" ht="15.75" x14ac:dyDescent="0.25">
      <c r="H3" s="45" t="s">
        <v>64</v>
      </c>
      <c r="I3" s="45"/>
    </row>
    <row r="4" spans="1:9" ht="15.75" x14ac:dyDescent="0.25">
      <c r="A4" s="6" t="s">
        <v>34</v>
      </c>
      <c r="B4" s="22" t="s">
        <v>55</v>
      </c>
      <c r="C4" s="22" t="s">
        <v>56</v>
      </c>
      <c r="D4" s="23"/>
      <c r="E4" s="6" t="s">
        <v>57</v>
      </c>
      <c r="F4" s="6" t="s">
        <v>58</v>
      </c>
    </row>
    <row r="5" spans="1:9" ht="15.75" x14ac:dyDescent="0.25">
      <c r="A5" s="43" t="s">
        <v>52</v>
      </c>
      <c r="B5" s="44"/>
      <c r="C5" s="44"/>
      <c r="D5" s="24"/>
      <c r="E5" s="24"/>
      <c r="F5" s="24"/>
    </row>
    <row r="6" spans="1:9" ht="15.75" x14ac:dyDescent="0.25">
      <c r="A6" s="8" t="s">
        <v>61</v>
      </c>
      <c r="B6" s="42">
        <f>INDEX(Budget!$A$4:$N$17,MATCH(Dashboard!$A6,Budget!$A$4:$A$17,0),MATCH(Dashboard!$C$2,Budget!$A$3:$M$3,0))</f>
        <v>6500</v>
      </c>
      <c r="C6" s="42">
        <f>SUMIFS(Actual!E:E,Actual!C:C,TRIM(Dashboard!$A6),Actual!B:B,TRIM(Dashboard!$C$2))</f>
        <v>5000</v>
      </c>
      <c r="D6" s="25"/>
      <c r="E6" s="25">
        <f>C6-B6</f>
        <v>-1500</v>
      </c>
      <c r="F6" s="26">
        <f>C6/B6-1</f>
        <v>-0.23076923076923073</v>
      </c>
    </row>
    <row r="7" spans="1:9" ht="15.75" x14ac:dyDescent="0.25">
      <c r="A7" s="8" t="s">
        <v>62</v>
      </c>
      <c r="B7" s="42">
        <f>INDEX(Budget!$A$4:$N$17,MATCH(Dashboard!$A7,Budget!$A$4:$A$17,0),MATCH(Dashboard!$C$2,Budget!$A$3:$M$3,0))</f>
        <v>3500</v>
      </c>
      <c r="C7" s="42">
        <f>SUMIFS(Actual!E:E,Actual!C:C,TRIM(Dashboard!$A7),Actual!B:B,TRIM(Dashboard!$C$2))</f>
        <v>2500</v>
      </c>
      <c r="D7" s="25"/>
      <c r="E7" s="25">
        <f t="shared" ref="E7:E20" si="0">C7-B7</f>
        <v>-1000</v>
      </c>
      <c r="F7" s="26">
        <f t="shared" ref="F7:F20" si="1">C7/B7-1</f>
        <v>-0.2857142857142857</v>
      </c>
    </row>
    <row r="8" spans="1:9" ht="15.75" x14ac:dyDescent="0.25">
      <c r="A8" s="8" t="s">
        <v>63</v>
      </c>
      <c r="B8" s="42">
        <f>INDEX(Budget!$A$4:$N$17,MATCH(Dashboard!$A8,Budget!$A$4:$A$17,0),MATCH(Dashboard!$C$2,Budget!$A$3:$M$3,0))</f>
        <v>6500</v>
      </c>
      <c r="C8" s="42">
        <f>SUMIFS(Actual!E:E,Actual!C:C,TRIM(Dashboard!$A8),Actual!B:B,TRIM(Dashboard!$C$2))</f>
        <v>7500</v>
      </c>
      <c r="D8" s="25"/>
      <c r="E8" s="25">
        <f t="shared" si="0"/>
        <v>1000</v>
      </c>
      <c r="F8" s="26">
        <f t="shared" si="1"/>
        <v>0.15384615384615374</v>
      </c>
    </row>
    <row r="9" spans="1:9" ht="15.75" x14ac:dyDescent="0.25">
      <c r="A9" s="8" t="s">
        <v>36</v>
      </c>
      <c r="B9" s="42">
        <f>INDEX(Budget!$A$4:$N$17,MATCH(Dashboard!$A9,Budget!$A$4:$A$17,0),MATCH(Dashboard!$C$2,Budget!$A$3:$M$3,0))</f>
        <v>16500</v>
      </c>
      <c r="C9" s="42">
        <f>SUM(C6:C8)</f>
        <v>15000</v>
      </c>
      <c r="D9" s="28"/>
      <c r="E9" s="27">
        <f t="shared" si="0"/>
        <v>-1500</v>
      </c>
      <c r="F9" s="29">
        <f t="shared" si="1"/>
        <v>-9.0909090909090939E-2</v>
      </c>
    </row>
    <row r="10" spans="1:9" ht="15.75" x14ac:dyDescent="0.25">
      <c r="A10" s="8"/>
      <c r="B10" s="42"/>
      <c r="C10" s="42"/>
      <c r="D10" s="28"/>
      <c r="E10" s="25"/>
      <c r="F10" s="26"/>
    </row>
    <row r="11" spans="1:9" ht="15.75" x14ac:dyDescent="0.25">
      <c r="A11" s="43" t="s">
        <v>53</v>
      </c>
      <c r="B11" s="42"/>
      <c r="C11" s="42"/>
      <c r="D11" s="25"/>
      <c r="E11" s="25"/>
      <c r="F11" s="26"/>
    </row>
    <row r="12" spans="1:9" ht="15.75" x14ac:dyDescent="0.25">
      <c r="A12" s="8" t="s">
        <v>6</v>
      </c>
      <c r="B12" s="42">
        <f>INDEX(Budget!$A$4:$N$17,MATCH(Dashboard!$A12,Budget!$A$4:$A$17,0),MATCH(Dashboard!$C$2,Budget!$A$3:$M$3,0))</f>
        <v>7000</v>
      </c>
      <c r="C12" s="42">
        <f>SUMIFS(Actual!E:E,Actual!C:C,TRIM(Dashboard!$A12),Actual!B:B,TRIM(Dashboard!$C$2))</f>
        <v>7000</v>
      </c>
      <c r="D12" s="25"/>
      <c r="E12" s="25">
        <f>B12-C12</f>
        <v>0</v>
      </c>
      <c r="F12" s="26">
        <f>B12/C12-1</f>
        <v>0</v>
      </c>
    </row>
    <row r="13" spans="1:9" ht="15.75" x14ac:dyDescent="0.25">
      <c r="A13" s="8" t="s">
        <v>8</v>
      </c>
      <c r="B13" s="42">
        <f>INDEX(Budget!$A$4:$N$17,MATCH(Dashboard!$A13,Budget!$A$4:$A$17,0),MATCH(Dashboard!$C$2,Budget!$A$3:$M$3,0))</f>
        <v>4000</v>
      </c>
      <c r="C13" s="42">
        <f>SUMIFS(Actual!E:E,Actual!C:C,TRIM(Dashboard!$A13),Actual!B:B,TRIM(Dashboard!$C$2))</f>
        <v>4800</v>
      </c>
      <c r="D13" s="25"/>
      <c r="E13" s="25">
        <f t="shared" ref="E13:E18" si="2">B13-C13</f>
        <v>-800</v>
      </c>
      <c r="F13" s="26">
        <f t="shared" ref="F13:F18" si="3">B13/C13-1</f>
        <v>-0.16666666666666663</v>
      </c>
    </row>
    <row r="14" spans="1:9" ht="15.75" x14ac:dyDescent="0.25">
      <c r="A14" s="8" t="s">
        <v>10</v>
      </c>
      <c r="B14" s="42">
        <f>INDEX(Budget!$A$4:$N$17,MATCH(Dashboard!$A14,Budget!$A$4:$A$17,0),MATCH(Dashboard!$C$2,Budget!$A$3:$M$3,0))</f>
        <v>2200</v>
      </c>
      <c r="C14" s="42">
        <f>SUMIFS(Actual!E:E,Actual!C:C,TRIM(Dashboard!$A14),Actual!B:B,TRIM(Dashboard!$C$2))</f>
        <v>2000</v>
      </c>
      <c r="D14" s="25"/>
      <c r="E14" s="25">
        <f t="shared" si="2"/>
        <v>200</v>
      </c>
      <c r="F14" s="26">
        <f t="shared" si="3"/>
        <v>0.10000000000000009</v>
      </c>
    </row>
    <row r="15" spans="1:9" ht="15.75" x14ac:dyDescent="0.25">
      <c r="A15" s="8" t="s">
        <v>12</v>
      </c>
      <c r="B15" s="42">
        <f>INDEX(Budget!$A$4:$N$17,MATCH(Dashboard!$A15,Budget!$A$4:$A$17,0),MATCH(Dashboard!$C$2,Budget!$A$3:$M$3,0))</f>
        <v>2300</v>
      </c>
      <c r="C15" s="42">
        <f>SUMIFS(Actual!E:E,Actual!C:C,TRIM(Dashboard!$A15),Actual!B:B,TRIM(Dashboard!$C$2))</f>
        <v>2200</v>
      </c>
      <c r="D15" s="25"/>
      <c r="E15" s="25">
        <f t="shared" si="2"/>
        <v>100</v>
      </c>
      <c r="F15" s="26">
        <f t="shared" si="3"/>
        <v>4.5454545454545414E-2</v>
      </c>
    </row>
    <row r="16" spans="1:9" ht="15.75" x14ac:dyDescent="0.25">
      <c r="A16" s="8" t="s">
        <v>14</v>
      </c>
      <c r="B16" s="42">
        <f>INDEX(Budget!$A$4:$N$17,MATCH(Dashboard!$A16,Budget!$A$4:$A$17,0),MATCH(Dashboard!$C$2,Budget!$A$3:$M$3,0))</f>
        <v>1000</v>
      </c>
      <c r="C16" s="42">
        <f>SUMIFS(Actual!E:E,Actual!C:C,TRIM(Dashboard!$A16),Actual!B:B,TRIM(Dashboard!$C$2))</f>
        <v>1000</v>
      </c>
      <c r="D16" s="25"/>
      <c r="E16" s="25">
        <f t="shared" si="2"/>
        <v>0</v>
      </c>
      <c r="F16" s="26">
        <f t="shared" si="3"/>
        <v>0</v>
      </c>
    </row>
    <row r="17" spans="1:9" ht="15.75" x14ac:dyDescent="0.25">
      <c r="A17" s="8" t="s">
        <v>18</v>
      </c>
      <c r="B17" s="42">
        <f>INDEX(Budget!$A$4:$N$17,MATCH(Dashboard!$A17,Budget!$A$4:$A$17,0),MATCH(Dashboard!$C$2,Budget!$A$3:$M$3,0))</f>
        <v>1200</v>
      </c>
      <c r="C17" s="42">
        <f>SUMIFS(Actual!E:E,Actual!C:C,TRIM(Dashboard!$A17),Actual!B:B,TRIM(Dashboard!$C$2))</f>
        <v>3000</v>
      </c>
      <c r="D17" s="25"/>
      <c r="E17" s="25">
        <f t="shared" si="2"/>
        <v>-1800</v>
      </c>
      <c r="F17" s="26">
        <f t="shared" si="3"/>
        <v>-0.6</v>
      </c>
      <c r="H17" s="45" t="s">
        <v>65</v>
      </c>
      <c r="I17" s="45"/>
    </row>
    <row r="18" spans="1:9" ht="15.75" x14ac:dyDescent="0.25">
      <c r="A18" s="8" t="s">
        <v>37</v>
      </c>
      <c r="B18" s="42">
        <f>INDEX(Budget!$A$4:$N$17,MATCH(Dashboard!$A18,Budget!$A$4:$A$17,0),MATCH(Dashboard!$C$2,Budget!$A$3:$M$3,0))</f>
        <v>17700</v>
      </c>
      <c r="C18" s="42">
        <f>SUM(C12:C17)</f>
        <v>20000</v>
      </c>
      <c r="D18" s="28"/>
      <c r="E18" s="27">
        <f t="shared" si="2"/>
        <v>-2300</v>
      </c>
      <c r="F18" s="29">
        <f t="shared" si="3"/>
        <v>-0.11499999999999999</v>
      </c>
    </row>
    <row r="19" spans="1:9" ht="15.75" x14ac:dyDescent="0.25">
      <c r="A19" s="30"/>
      <c r="B19" s="25"/>
      <c r="C19" s="25" t="s">
        <v>59</v>
      </c>
      <c r="D19" s="25"/>
      <c r="E19" s="25"/>
      <c r="F19" s="26"/>
    </row>
    <row r="20" spans="1:9" ht="15.75" x14ac:dyDescent="0.25">
      <c r="A20" s="31" t="s">
        <v>38</v>
      </c>
      <c r="B20" s="32">
        <f>B9-B18</f>
        <v>-1200</v>
      </c>
      <c r="C20" s="32">
        <f>C9-C18</f>
        <v>-5000</v>
      </c>
      <c r="D20" s="28"/>
      <c r="E20" s="33">
        <f t="shared" si="0"/>
        <v>-3800</v>
      </c>
      <c r="F20" s="34">
        <f t="shared" si="1"/>
        <v>3.166666666666667</v>
      </c>
    </row>
  </sheetData>
  <mergeCells count="3">
    <mergeCell ref="H3:I3"/>
    <mergeCell ref="H17:I17"/>
    <mergeCell ref="A1:I1"/>
  </mergeCells>
  <conditionalFormatting sqref="E6:F2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Budget!$B$3:$M$3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selection activeCell="P18" sqref="P18"/>
    </sheetView>
  </sheetViews>
  <sheetFormatPr defaultRowHeight="15" x14ac:dyDescent="0.25"/>
  <cols>
    <col min="1" max="1" width="24.28515625" customWidth="1"/>
    <col min="2" max="3" width="7.28515625" customWidth="1"/>
    <col min="4" max="9" width="7.28515625" bestFit="1" customWidth="1"/>
    <col min="10" max="13" width="8" customWidth="1"/>
    <col min="14" max="14" width="15.5703125" bestFit="1" customWidth="1"/>
  </cols>
  <sheetData>
    <row r="1" spans="1:14" ht="15" customHeight="1" x14ac:dyDescent="0.25">
      <c r="A1" s="37" t="s">
        <v>33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15" customHeight="1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15.75" x14ac:dyDescent="0.25">
      <c r="A3" s="15" t="s">
        <v>40</v>
      </c>
      <c r="B3" s="15" t="s">
        <v>41</v>
      </c>
      <c r="C3" s="15" t="s">
        <v>42</v>
      </c>
      <c r="D3" s="15" t="s">
        <v>43</v>
      </c>
      <c r="E3" s="15" t="s">
        <v>44</v>
      </c>
      <c r="F3" s="15" t="s">
        <v>35</v>
      </c>
      <c r="G3" s="15" t="s">
        <v>45</v>
      </c>
      <c r="H3" s="15" t="s">
        <v>46</v>
      </c>
      <c r="I3" s="15" t="s">
        <v>47</v>
      </c>
      <c r="J3" s="15" t="s">
        <v>48</v>
      </c>
      <c r="K3" s="15" t="s">
        <v>49</v>
      </c>
      <c r="L3" s="15" t="s">
        <v>50</v>
      </c>
      <c r="M3" s="15" t="s">
        <v>51</v>
      </c>
      <c r="N3" s="15" t="s">
        <v>54</v>
      </c>
    </row>
    <row r="4" spans="1:14" ht="15.75" x14ac:dyDescent="0.25">
      <c r="A4" s="16" t="s">
        <v>52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ht="15.75" x14ac:dyDescent="0.25">
      <c r="A5" s="12" t="s">
        <v>61</v>
      </c>
      <c r="B5" s="13">
        <v>6500</v>
      </c>
      <c r="C5" s="13">
        <v>6500</v>
      </c>
      <c r="D5" s="13">
        <v>6500</v>
      </c>
      <c r="E5" s="13">
        <v>6500</v>
      </c>
      <c r="F5" s="13">
        <v>6500</v>
      </c>
      <c r="G5" s="13">
        <v>6500</v>
      </c>
      <c r="H5" s="13">
        <v>6500</v>
      </c>
      <c r="I5" s="13">
        <v>6500</v>
      </c>
      <c r="J5" s="13">
        <v>6500</v>
      </c>
      <c r="K5" s="13">
        <v>6500</v>
      </c>
      <c r="L5" s="13">
        <v>6500</v>
      </c>
      <c r="M5" s="13">
        <v>6500</v>
      </c>
      <c r="N5" s="13">
        <v>78000</v>
      </c>
    </row>
    <row r="6" spans="1:14" ht="15.75" x14ac:dyDescent="0.25">
      <c r="A6" s="8" t="s">
        <v>62</v>
      </c>
      <c r="B6" s="9">
        <v>3500</v>
      </c>
      <c r="C6" s="9">
        <v>3500</v>
      </c>
      <c r="D6" s="9">
        <v>3500</v>
      </c>
      <c r="E6" s="9">
        <v>3500</v>
      </c>
      <c r="F6" s="9">
        <v>3500</v>
      </c>
      <c r="G6" s="9">
        <v>3500</v>
      </c>
      <c r="H6" s="9">
        <v>3500</v>
      </c>
      <c r="I6" s="9">
        <v>3500</v>
      </c>
      <c r="J6" s="9">
        <v>3500</v>
      </c>
      <c r="K6" s="9">
        <v>3500</v>
      </c>
      <c r="L6" s="9">
        <v>3500</v>
      </c>
      <c r="M6" s="9">
        <v>3500</v>
      </c>
      <c r="N6" s="9">
        <v>42000</v>
      </c>
    </row>
    <row r="7" spans="1:14" ht="15.75" x14ac:dyDescent="0.25">
      <c r="A7" s="8" t="s">
        <v>63</v>
      </c>
      <c r="B7" s="9">
        <v>6500</v>
      </c>
      <c r="C7" s="9">
        <v>6500</v>
      </c>
      <c r="D7" s="9">
        <v>6500</v>
      </c>
      <c r="E7" s="9">
        <v>6500</v>
      </c>
      <c r="F7" s="9">
        <v>6500</v>
      </c>
      <c r="G7" s="9">
        <v>6500</v>
      </c>
      <c r="H7" s="9">
        <v>6500</v>
      </c>
      <c r="I7" s="9">
        <v>6500</v>
      </c>
      <c r="J7" s="9">
        <v>6500</v>
      </c>
      <c r="K7" s="9">
        <v>6500</v>
      </c>
      <c r="L7" s="9">
        <v>6500</v>
      </c>
      <c r="M7" s="9">
        <v>6500</v>
      </c>
      <c r="N7" s="9">
        <v>78000</v>
      </c>
    </row>
    <row r="8" spans="1:14" ht="15.75" x14ac:dyDescent="0.25">
      <c r="A8" s="10" t="s">
        <v>36</v>
      </c>
      <c r="B8" s="11">
        <v>16500</v>
      </c>
      <c r="C8" s="11">
        <v>16500</v>
      </c>
      <c r="D8" s="11">
        <v>16500</v>
      </c>
      <c r="E8" s="11">
        <v>16500</v>
      </c>
      <c r="F8" s="11">
        <v>16500</v>
      </c>
      <c r="G8" s="11">
        <v>16500</v>
      </c>
      <c r="H8" s="11">
        <v>16500</v>
      </c>
      <c r="I8" s="11">
        <v>16500</v>
      </c>
      <c r="J8" s="11">
        <v>16500</v>
      </c>
      <c r="K8" s="11">
        <v>16500</v>
      </c>
      <c r="L8" s="11">
        <v>16500</v>
      </c>
      <c r="M8" s="11">
        <v>16500</v>
      </c>
      <c r="N8" s="11">
        <v>198000</v>
      </c>
    </row>
    <row r="9" spans="1:14" ht="15.75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ht="15.75" x14ac:dyDescent="0.25">
      <c r="A10" s="16" t="s">
        <v>53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4" ht="15.75" x14ac:dyDescent="0.25">
      <c r="A11" s="12" t="s">
        <v>6</v>
      </c>
      <c r="B11" s="13">
        <v>7000</v>
      </c>
      <c r="C11" s="13">
        <v>7000</v>
      </c>
      <c r="D11" s="13">
        <v>7000</v>
      </c>
      <c r="E11" s="13">
        <v>7000</v>
      </c>
      <c r="F11" s="13">
        <v>7000</v>
      </c>
      <c r="G11" s="13">
        <v>7000</v>
      </c>
      <c r="H11" s="13">
        <v>7000</v>
      </c>
      <c r="I11" s="13">
        <v>7000</v>
      </c>
      <c r="J11" s="13">
        <v>7000</v>
      </c>
      <c r="K11" s="13">
        <v>7000</v>
      </c>
      <c r="L11" s="13">
        <v>7000</v>
      </c>
      <c r="M11" s="13">
        <v>7000</v>
      </c>
      <c r="N11" s="13">
        <v>84000</v>
      </c>
    </row>
    <row r="12" spans="1:14" ht="15.75" x14ac:dyDescent="0.25">
      <c r="A12" s="8" t="s">
        <v>8</v>
      </c>
      <c r="B12" s="9">
        <v>4000</v>
      </c>
      <c r="C12" s="9">
        <v>4000</v>
      </c>
      <c r="D12" s="9">
        <v>4000</v>
      </c>
      <c r="E12" s="9">
        <v>4000</v>
      </c>
      <c r="F12" s="9">
        <v>4000</v>
      </c>
      <c r="G12" s="9">
        <v>4000</v>
      </c>
      <c r="H12" s="9">
        <v>4000</v>
      </c>
      <c r="I12" s="9">
        <v>4000</v>
      </c>
      <c r="J12" s="9">
        <v>4000</v>
      </c>
      <c r="K12" s="9">
        <v>4000</v>
      </c>
      <c r="L12" s="9">
        <v>4000</v>
      </c>
      <c r="M12" s="9">
        <v>4000</v>
      </c>
      <c r="N12" s="9">
        <v>48000</v>
      </c>
    </row>
    <row r="13" spans="1:14" ht="15.75" x14ac:dyDescent="0.25">
      <c r="A13" s="8" t="s">
        <v>10</v>
      </c>
      <c r="B13" s="9">
        <v>2200</v>
      </c>
      <c r="C13" s="9">
        <v>2200</v>
      </c>
      <c r="D13" s="9">
        <v>2200</v>
      </c>
      <c r="E13" s="9">
        <v>2200</v>
      </c>
      <c r="F13" s="9">
        <v>2200</v>
      </c>
      <c r="G13" s="9">
        <v>2200</v>
      </c>
      <c r="H13" s="9">
        <v>2200</v>
      </c>
      <c r="I13" s="9">
        <v>2200</v>
      </c>
      <c r="J13" s="9">
        <v>2200</v>
      </c>
      <c r="K13" s="9">
        <v>2200</v>
      </c>
      <c r="L13" s="9">
        <v>2200</v>
      </c>
      <c r="M13" s="9">
        <v>2200</v>
      </c>
      <c r="N13" s="9">
        <v>26400</v>
      </c>
    </row>
    <row r="14" spans="1:14" ht="15.75" x14ac:dyDescent="0.25">
      <c r="A14" s="8" t="s">
        <v>12</v>
      </c>
      <c r="B14" s="9">
        <v>2300</v>
      </c>
      <c r="C14" s="9">
        <v>2300</v>
      </c>
      <c r="D14" s="9">
        <v>2300</v>
      </c>
      <c r="E14" s="9">
        <v>2300</v>
      </c>
      <c r="F14" s="9">
        <v>2300</v>
      </c>
      <c r="G14" s="9">
        <v>2300</v>
      </c>
      <c r="H14" s="9">
        <v>2300</v>
      </c>
      <c r="I14" s="9">
        <v>2300</v>
      </c>
      <c r="J14" s="9">
        <v>2300</v>
      </c>
      <c r="K14" s="9">
        <v>2300</v>
      </c>
      <c r="L14" s="9">
        <v>2300</v>
      </c>
      <c r="M14" s="9">
        <v>2300</v>
      </c>
      <c r="N14" s="9">
        <v>27600</v>
      </c>
    </row>
    <row r="15" spans="1:14" ht="15.75" x14ac:dyDescent="0.25">
      <c r="A15" s="8" t="s">
        <v>14</v>
      </c>
      <c r="B15" s="9">
        <v>1000</v>
      </c>
      <c r="C15" s="9">
        <v>1000</v>
      </c>
      <c r="D15" s="9">
        <v>1000</v>
      </c>
      <c r="E15" s="9">
        <v>1000</v>
      </c>
      <c r="F15" s="9">
        <v>1000</v>
      </c>
      <c r="G15" s="9">
        <v>1000</v>
      </c>
      <c r="H15" s="9">
        <v>1000</v>
      </c>
      <c r="I15" s="9">
        <v>1000</v>
      </c>
      <c r="J15" s="9">
        <v>1000</v>
      </c>
      <c r="K15" s="9">
        <v>1000</v>
      </c>
      <c r="L15" s="9">
        <v>1000</v>
      </c>
      <c r="M15" s="9">
        <v>1000</v>
      </c>
      <c r="N15" s="9">
        <v>12000</v>
      </c>
    </row>
    <row r="16" spans="1:14" ht="15.75" x14ac:dyDescent="0.25">
      <c r="A16" s="8" t="s">
        <v>18</v>
      </c>
      <c r="B16" s="9">
        <v>1200</v>
      </c>
      <c r="C16" s="9">
        <v>1200</v>
      </c>
      <c r="D16" s="9">
        <v>1200</v>
      </c>
      <c r="E16" s="9">
        <v>1200</v>
      </c>
      <c r="F16" s="9">
        <v>1200</v>
      </c>
      <c r="G16" s="9">
        <v>1200</v>
      </c>
      <c r="H16" s="9">
        <v>1200</v>
      </c>
      <c r="I16" s="9">
        <v>1200</v>
      </c>
      <c r="J16" s="9">
        <v>1200</v>
      </c>
      <c r="K16" s="9">
        <v>1200</v>
      </c>
      <c r="L16" s="9">
        <v>1200</v>
      </c>
      <c r="M16" s="9">
        <v>1200</v>
      </c>
      <c r="N16" s="9">
        <v>14400</v>
      </c>
    </row>
    <row r="17" spans="1:14" ht="15.75" x14ac:dyDescent="0.25">
      <c r="A17" s="10" t="s">
        <v>37</v>
      </c>
      <c r="B17" s="11">
        <v>17700</v>
      </c>
      <c r="C17" s="11">
        <v>17700</v>
      </c>
      <c r="D17" s="11">
        <v>17700</v>
      </c>
      <c r="E17" s="11">
        <v>17700</v>
      </c>
      <c r="F17" s="11">
        <v>17700</v>
      </c>
      <c r="G17" s="11">
        <v>17700</v>
      </c>
      <c r="H17" s="11">
        <v>17700</v>
      </c>
      <c r="I17" s="11">
        <v>17700</v>
      </c>
      <c r="J17" s="11">
        <v>17700</v>
      </c>
      <c r="K17" s="11">
        <v>17700</v>
      </c>
      <c r="L17" s="11">
        <v>17700</v>
      </c>
      <c r="M17" s="11">
        <v>17700</v>
      </c>
      <c r="N17" s="11">
        <v>212400</v>
      </c>
    </row>
    <row r="18" spans="1:14" ht="15.75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25">
      <c r="A19" s="7" t="s">
        <v>38</v>
      </c>
      <c r="B19" s="19">
        <f>B8-B17</f>
        <v>-1200</v>
      </c>
      <c r="C19" s="19">
        <f t="shared" ref="C19:M19" si="0">C8-C17</f>
        <v>-1200</v>
      </c>
      <c r="D19" s="19">
        <f t="shared" si="0"/>
        <v>-1200</v>
      </c>
      <c r="E19" s="19">
        <f t="shared" si="0"/>
        <v>-1200</v>
      </c>
      <c r="F19" s="19">
        <f t="shared" si="0"/>
        <v>-1200</v>
      </c>
      <c r="G19" s="19">
        <f t="shared" si="0"/>
        <v>-1200</v>
      </c>
      <c r="H19" s="19">
        <f t="shared" si="0"/>
        <v>-1200</v>
      </c>
      <c r="I19" s="19">
        <f t="shared" si="0"/>
        <v>-1200</v>
      </c>
      <c r="J19" s="19">
        <f t="shared" si="0"/>
        <v>-1200</v>
      </c>
      <c r="K19" s="19">
        <f t="shared" si="0"/>
        <v>-1200</v>
      </c>
      <c r="L19" s="19">
        <f t="shared" si="0"/>
        <v>-1200</v>
      </c>
      <c r="M19" s="19">
        <f t="shared" si="0"/>
        <v>-1200</v>
      </c>
      <c r="N19" s="19">
        <f>N8-N17</f>
        <v>-14400</v>
      </c>
    </row>
    <row r="20" spans="1:14" ht="15.75" x14ac:dyDescent="0.25">
      <c r="A20" s="2" t="s">
        <v>39</v>
      </c>
      <c r="B20" s="20">
        <f>B19</f>
        <v>-1200</v>
      </c>
      <c r="C20" s="20">
        <f>B20+C19</f>
        <v>-2400</v>
      </c>
      <c r="D20" s="20">
        <f t="shared" ref="D20:M20" si="1">C20+D19</f>
        <v>-3600</v>
      </c>
      <c r="E20" s="20">
        <f t="shared" si="1"/>
        <v>-4800</v>
      </c>
      <c r="F20" s="20">
        <f t="shared" si="1"/>
        <v>-6000</v>
      </c>
      <c r="G20" s="20">
        <f t="shared" si="1"/>
        <v>-7200</v>
      </c>
      <c r="H20" s="20">
        <f t="shared" si="1"/>
        <v>-8400</v>
      </c>
      <c r="I20" s="20">
        <f t="shared" si="1"/>
        <v>-9600</v>
      </c>
      <c r="J20" s="20">
        <f t="shared" si="1"/>
        <v>-10800</v>
      </c>
      <c r="K20" s="20">
        <f t="shared" si="1"/>
        <v>-12000</v>
      </c>
      <c r="L20" s="20">
        <f t="shared" si="1"/>
        <v>-13200</v>
      </c>
      <c r="M20" s="20">
        <f t="shared" si="1"/>
        <v>-14400</v>
      </c>
      <c r="N20" s="21"/>
    </row>
  </sheetData>
  <mergeCells count="1">
    <mergeCell ref="A1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selection activeCell="C35" sqref="C35"/>
    </sheetView>
  </sheetViews>
  <sheetFormatPr defaultRowHeight="15" x14ac:dyDescent="0.25"/>
  <cols>
    <col min="1" max="1" width="9.7109375" style="5" bestFit="1" customWidth="1"/>
    <col min="2" max="2" width="8.85546875" style="5" bestFit="1" customWidth="1"/>
    <col min="3" max="3" width="18" bestFit="1" customWidth="1"/>
    <col min="4" max="4" width="32.5703125" bestFit="1" customWidth="1"/>
    <col min="5" max="5" width="8.140625" bestFit="1" customWidth="1"/>
    <col min="6" max="6" width="18" bestFit="1" customWidth="1"/>
    <col min="8" max="8" width="18" bestFit="1" customWidth="1"/>
  </cols>
  <sheetData>
    <row r="1" spans="1:8" x14ac:dyDescent="0.2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8" ht="15.75" x14ac:dyDescent="0.25">
      <c r="A2" s="4">
        <v>46023</v>
      </c>
      <c r="B2" s="10" t="s">
        <v>41</v>
      </c>
      <c r="C2" s="2" t="s">
        <v>6</v>
      </c>
      <c r="D2" s="2" t="s">
        <v>5</v>
      </c>
      <c r="E2" s="2">
        <v>7000</v>
      </c>
    </row>
    <row r="3" spans="1:8" ht="15.75" x14ac:dyDescent="0.25">
      <c r="A3" s="4">
        <v>46023</v>
      </c>
      <c r="B3" s="10" t="s">
        <v>41</v>
      </c>
      <c r="C3" s="2" t="s">
        <v>8</v>
      </c>
      <c r="D3" s="2" t="s">
        <v>7</v>
      </c>
      <c r="E3" s="2">
        <v>4800</v>
      </c>
      <c r="H3" s="1" t="s">
        <v>2</v>
      </c>
    </row>
    <row r="4" spans="1:8" ht="15.75" x14ac:dyDescent="0.25">
      <c r="A4" s="4">
        <v>46023</v>
      </c>
      <c r="B4" s="10" t="s">
        <v>41</v>
      </c>
      <c r="C4" s="2" t="s">
        <v>10</v>
      </c>
      <c r="D4" s="2" t="s">
        <v>9</v>
      </c>
      <c r="E4" s="2">
        <v>2000</v>
      </c>
      <c r="H4" s="2" t="s">
        <v>6</v>
      </c>
    </row>
    <row r="5" spans="1:8" ht="15.75" x14ac:dyDescent="0.25">
      <c r="A5" s="4">
        <v>46030</v>
      </c>
      <c r="B5" s="10" t="s">
        <v>41</v>
      </c>
      <c r="C5" s="2" t="s">
        <v>12</v>
      </c>
      <c r="D5" s="2" t="s">
        <v>11</v>
      </c>
      <c r="E5" s="2">
        <v>2200</v>
      </c>
      <c r="H5" s="2" t="s">
        <v>8</v>
      </c>
    </row>
    <row r="6" spans="1:8" ht="15.75" x14ac:dyDescent="0.25">
      <c r="A6" s="4">
        <v>46033</v>
      </c>
      <c r="B6" s="10" t="s">
        <v>41</v>
      </c>
      <c r="C6" s="2" t="s">
        <v>14</v>
      </c>
      <c r="D6" s="2" t="s">
        <v>13</v>
      </c>
      <c r="E6" s="2">
        <v>400</v>
      </c>
      <c r="H6" s="2" t="s">
        <v>10</v>
      </c>
    </row>
    <row r="7" spans="1:8" ht="15.75" x14ac:dyDescent="0.25">
      <c r="A7" s="4">
        <v>46034</v>
      </c>
      <c r="B7" s="10" t="s">
        <v>41</v>
      </c>
      <c r="C7" s="2" t="s">
        <v>14</v>
      </c>
      <c r="D7" s="2" t="s">
        <v>15</v>
      </c>
      <c r="E7" s="2">
        <v>300</v>
      </c>
      <c r="H7" s="2" t="s">
        <v>12</v>
      </c>
    </row>
    <row r="8" spans="1:8" ht="15.75" x14ac:dyDescent="0.25">
      <c r="A8" s="4">
        <v>46034</v>
      </c>
      <c r="B8" s="10" t="s">
        <v>41</v>
      </c>
      <c r="C8" s="2" t="s">
        <v>14</v>
      </c>
      <c r="D8" s="2" t="s">
        <v>16</v>
      </c>
      <c r="E8" s="2">
        <v>300</v>
      </c>
      <c r="H8" s="2" t="s">
        <v>14</v>
      </c>
    </row>
    <row r="9" spans="1:8" ht="15.75" x14ac:dyDescent="0.25">
      <c r="A9" s="4">
        <v>46036</v>
      </c>
      <c r="B9" s="10" t="s">
        <v>41</v>
      </c>
      <c r="C9" s="2" t="s">
        <v>18</v>
      </c>
      <c r="D9" s="2" t="s">
        <v>17</v>
      </c>
      <c r="E9" s="2">
        <v>3000</v>
      </c>
      <c r="H9" s="2" t="s">
        <v>18</v>
      </c>
    </row>
    <row r="10" spans="1:8" ht="15.75" x14ac:dyDescent="0.25">
      <c r="A10" s="4">
        <v>46053</v>
      </c>
      <c r="B10" s="10" t="s">
        <v>41</v>
      </c>
      <c r="C10" s="2" t="s">
        <v>20</v>
      </c>
      <c r="D10" s="2" t="s">
        <v>19</v>
      </c>
      <c r="E10" s="2">
        <v>2500</v>
      </c>
      <c r="H10" s="2" t="s">
        <v>20</v>
      </c>
    </row>
    <row r="11" spans="1:8" ht="15.75" x14ac:dyDescent="0.25">
      <c r="A11" s="4">
        <v>46053</v>
      </c>
      <c r="B11" s="10" t="s">
        <v>41</v>
      </c>
      <c r="C11" s="2" t="s">
        <v>22</v>
      </c>
      <c r="D11" s="2" t="s">
        <v>21</v>
      </c>
      <c r="E11" s="2">
        <v>5000</v>
      </c>
      <c r="H11" s="2" t="s">
        <v>22</v>
      </c>
    </row>
    <row r="12" spans="1:8" ht="15.75" x14ac:dyDescent="0.25">
      <c r="A12" s="4">
        <v>46053</v>
      </c>
      <c r="B12" s="10" t="s">
        <v>41</v>
      </c>
      <c r="C12" s="2" t="s">
        <v>24</v>
      </c>
      <c r="D12" s="2" t="s">
        <v>23</v>
      </c>
      <c r="E12" s="2">
        <v>7500</v>
      </c>
      <c r="H12" s="2" t="s">
        <v>24</v>
      </c>
    </row>
    <row r="13" spans="1:8" ht="15.75" x14ac:dyDescent="0.25">
      <c r="A13" s="4">
        <v>46054</v>
      </c>
      <c r="B13" s="10" t="s">
        <v>42</v>
      </c>
      <c r="C13" s="2" t="s">
        <v>6</v>
      </c>
      <c r="D13" s="2" t="s">
        <v>5</v>
      </c>
      <c r="E13" s="2">
        <v>7000</v>
      </c>
    </row>
    <row r="14" spans="1:8" ht="15.75" x14ac:dyDescent="0.25">
      <c r="A14" s="4">
        <v>46054</v>
      </c>
      <c r="B14" s="10" t="s">
        <v>42</v>
      </c>
      <c r="C14" s="2" t="s">
        <v>8</v>
      </c>
      <c r="D14" s="2" t="s">
        <v>25</v>
      </c>
      <c r="E14" s="2">
        <v>4500</v>
      </c>
    </row>
    <row r="15" spans="1:8" ht="15.75" x14ac:dyDescent="0.25">
      <c r="A15" s="4">
        <v>46054</v>
      </c>
      <c r="B15" s="10" t="s">
        <v>42</v>
      </c>
      <c r="C15" s="2" t="s">
        <v>10</v>
      </c>
      <c r="D15" s="2" t="s">
        <v>26</v>
      </c>
      <c r="E15" s="2">
        <v>2200</v>
      </c>
    </row>
    <row r="16" spans="1:8" ht="15.75" x14ac:dyDescent="0.25">
      <c r="A16" s="4">
        <v>46061</v>
      </c>
      <c r="B16" s="10" t="s">
        <v>42</v>
      </c>
      <c r="C16" s="2" t="s">
        <v>10</v>
      </c>
      <c r="D16" s="2" t="s">
        <v>27</v>
      </c>
      <c r="E16" s="2">
        <v>2300</v>
      </c>
    </row>
    <row r="17" spans="1:5" ht="15.75" x14ac:dyDescent="0.25">
      <c r="A17" s="4">
        <v>46064</v>
      </c>
      <c r="B17" s="10" t="s">
        <v>42</v>
      </c>
      <c r="C17" s="2" t="s">
        <v>14</v>
      </c>
      <c r="D17" s="2" t="s">
        <v>13</v>
      </c>
      <c r="E17" s="2">
        <v>350</v>
      </c>
    </row>
    <row r="18" spans="1:5" ht="15.75" x14ac:dyDescent="0.25">
      <c r="A18" s="4">
        <v>46065</v>
      </c>
      <c r="B18" s="10" t="s">
        <v>42</v>
      </c>
      <c r="C18" s="2" t="s">
        <v>14</v>
      </c>
      <c r="D18" s="2" t="s">
        <v>15</v>
      </c>
      <c r="E18" s="2">
        <v>345</v>
      </c>
    </row>
    <row r="19" spans="1:5" ht="15.75" x14ac:dyDescent="0.25">
      <c r="A19" s="4">
        <v>46065</v>
      </c>
      <c r="B19" s="10" t="s">
        <v>42</v>
      </c>
      <c r="C19" s="2" t="s">
        <v>14</v>
      </c>
      <c r="D19" s="2" t="s">
        <v>16</v>
      </c>
      <c r="E19" s="2">
        <v>400</v>
      </c>
    </row>
    <row r="20" spans="1:5" ht="15.75" x14ac:dyDescent="0.25">
      <c r="A20" s="4">
        <v>46067</v>
      </c>
      <c r="B20" s="10" t="s">
        <v>42</v>
      </c>
      <c r="C20" s="2" t="s">
        <v>18</v>
      </c>
      <c r="D20" s="2" t="s">
        <v>28</v>
      </c>
      <c r="E20" s="2">
        <v>560</v>
      </c>
    </row>
    <row r="21" spans="1:5" ht="15.75" x14ac:dyDescent="0.25">
      <c r="A21" s="4">
        <v>46081</v>
      </c>
      <c r="B21" s="10" t="s">
        <v>42</v>
      </c>
      <c r="C21" s="2" t="s">
        <v>20</v>
      </c>
      <c r="D21" s="2" t="s">
        <v>19</v>
      </c>
      <c r="E21" s="2">
        <v>2500</v>
      </c>
    </row>
    <row r="22" spans="1:5" ht="15.75" x14ac:dyDescent="0.25">
      <c r="A22" s="4">
        <v>46081</v>
      </c>
      <c r="B22" s="10" t="s">
        <v>42</v>
      </c>
      <c r="C22" s="2" t="s">
        <v>22</v>
      </c>
      <c r="D22" s="2" t="s">
        <v>21</v>
      </c>
      <c r="E22" s="2">
        <v>6600</v>
      </c>
    </row>
    <row r="23" spans="1:5" ht="15.75" x14ac:dyDescent="0.25">
      <c r="A23" s="4">
        <v>46081</v>
      </c>
      <c r="B23" s="10" t="s">
        <v>42</v>
      </c>
      <c r="C23" s="2" t="s">
        <v>24</v>
      </c>
      <c r="D23" s="2" t="s">
        <v>23</v>
      </c>
      <c r="E23" s="2">
        <v>5000</v>
      </c>
    </row>
    <row r="24" spans="1:5" x14ac:dyDescent="0.25">
      <c r="A24" s="4">
        <v>46082</v>
      </c>
      <c r="B24" s="4" t="s">
        <v>43</v>
      </c>
      <c r="C24" s="2" t="s">
        <v>6</v>
      </c>
      <c r="D24" s="2" t="s">
        <v>5</v>
      </c>
      <c r="E24" s="2">
        <v>7000</v>
      </c>
    </row>
    <row r="25" spans="1:5" x14ac:dyDescent="0.25">
      <c r="A25" s="4">
        <v>46082</v>
      </c>
      <c r="B25" s="4" t="s">
        <v>43</v>
      </c>
      <c r="C25" s="2" t="s">
        <v>8</v>
      </c>
      <c r="D25" s="2" t="s">
        <v>29</v>
      </c>
      <c r="E25" s="2">
        <v>4300</v>
      </c>
    </row>
    <row r="26" spans="1:5" x14ac:dyDescent="0.25">
      <c r="A26" s="4">
        <v>46082</v>
      </c>
      <c r="B26" s="4" t="s">
        <v>43</v>
      </c>
      <c r="C26" s="2" t="s">
        <v>10</v>
      </c>
      <c r="D26" s="2" t="s">
        <v>30</v>
      </c>
      <c r="E26" s="2">
        <v>2500</v>
      </c>
    </row>
    <row r="27" spans="1:5" x14ac:dyDescent="0.25">
      <c r="A27" s="4">
        <v>46089</v>
      </c>
      <c r="B27" s="4" t="s">
        <v>43</v>
      </c>
      <c r="C27" s="2" t="s">
        <v>12</v>
      </c>
      <c r="D27" s="2" t="s">
        <v>31</v>
      </c>
      <c r="E27" s="2">
        <v>2400</v>
      </c>
    </row>
    <row r="28" spans="1:5" x14ac:dyDescent="0.25">
      <c r="A28" s="4">
        <v>46092</v>
      </c>
      <c r="B28" s="4" t="s">
        <v>43</v>
      </c>
      <c r="C28" s="2" t="s">
        <v>14</v>
      </c>
      <c r="D28" s="2" t="s">
        <v>13</v>
      </c>
      <c r="E28" s="2">
        <v>400</v>
      </c>
    </row>
    <row r="29" spans="1:5" x14ac:dyDescent="0.25">
      <c r="A29" s="4">
        <v>46093</v>
      </c>
      <c r="B29" s="4" t="s">
        <v>43</v>
      </c>
      <c r="C29" s="2" t="s">
        <v>14</v>
      </c>
      <c r="D29" s="2" t="s">
        <v>15</v>
      </c>
      <c r="E29" s="2">
        <v>300</v>
      </c>
    </row>
    <row r="30" spans="1:5" x14ac:dyDescent="0.25">
      <c r="A30" s="4">
        <v>46093</v>
      </c>
      <c r="B30" s="4" t="s">
        <v>43</v>
      </c>
      <c r="C30" s="2" t="s">
        <v>14</v>
      </c>
      <c r="D30" s="2" t="s">
        <v>16</v>
      </c>
      <c r="E30" s="2">
        <v>350</v>
      </c>
    </row>
    <row r="31" spans="1:5" x14ac:dyDescent="0.25">
      <c r="A31" s="4">
        <v>46095</v>
      </c>
      <c r="B31" s="4" t="s">
        <v>43</v>
      </c>
      <c r="C31" s="2" t="s">
        <v>18</v>
      </c>
      <c r="D31" s="2" t="s">
        <v>32</v>
      </c>
      <c r="E31" s="2">
        <v>1200</v>
      </c>
    </row>
    <row r="32" spans="1:5" x14ac:dyDescent="0.25">
      <c r="A32" s="4">
        <v>46109</v>
      </c>
      <c r="B32" s="4" t="s">
        <v>43</v>
      </c>
      <c r="C32" s="2" t="s">
        <v>20</v>
      </c>
      <c r="D32" s="2" t="s">
        <v>19</v>
      </c>
      <c r="E32" s="2">
        <v>5000</v>
      </c>
    </row>
    <row r="33" spans="1:5" x14ac:dyDescent="0.25">
      <c r="A33" s="4">
        <v>46109</v>
      </c>
      <c r="B33" s="4" t="s">
        <v>43</v>
      </c>
      <c r="C33" s="2" t="s">
        <v>22</v>
      </c>
      <c r="D33" s="2" t="s">
        <v>21</v>
      </c>
      <c r="E33" s="2">
        <v>8000</v>
      </c>
    </row>
    <row r="34" spans="1:5" x14ac:dyDescent="0.25">
      <c r="A34" s="4">
        <v>46109</v>
      </c>
      <c r="B34" s="4" t="s">
        <v>43</v>
      </c>
      <c r="C34" s="2" t="s">
        <v>24</v>
      </c>
      <c r="D34" s="2" t="s">
        <v>23</v>
      </c>
      <c r="E34" s="2">
        <v>7000</v>
      </c>
    </row>
  </sheetData>
  <dataValidations count="1">
    <dataValidation type="list" allowBlank="1" showInputMessage="1" showErrorMessage="1" sqref="C2:C34">
      <formula1>$H$4:$H$12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Budget</vt:lpstr>
      <vt:lpstr>Actual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2026-08-13T17:53:08Z</dcterms:created>
  <dcterms:modified xsi:type="dcterms:W3CDTF">2026-08-13T19:40:03Z</dcterms:modified>
</cp:coreProperties>
</file>